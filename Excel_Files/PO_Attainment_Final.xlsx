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PO Attainment" state="visible" r:id="rId4"/>
  </sheets>
  <calcPr calcId="171027"/>
</workbook>
</file>

<file path=xl/sharedStrings.xml><?xml version="1.0" encoding="utf-8"?>
<sst xmlns="http://schemas.openxmlformats.org/spreadsheetml/2006/main" count="56" uniqueCount="37">
  <si>
    <t>INDIRA COLLEGE OF ENGINEERING AND MANAGEMENT</t>
  </si>
  <si>
    <t>ACADEMIC YEAR: 2024-25    Semester: VI</t>
  </si>
  <si>
    <t>Department: Artificial Intelligence And Data Science</t>
  </si>
  <si>
    <t>Course: Natural Language Processing</t>
  </si>
  <si>
    <t>PO Attainment</t>
  </si>
  <si>
    <t>CO\PO</t>
  </si>
  <si>
    <t>CO Attainment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</si>
  <si>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</si>
  <si>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</si>
  <si>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</si>
  <si>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</si>
  <si>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</si>
  <si>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</si>
  <si>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</si>
  <si>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</si>
  <si>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</si>
  <si>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</si>
  <si>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</si>
  <si>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</si>
  <si>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CO1</t>
  </si>
  <si>
    <t>CO2</t>
  </si>
  <si>
    <t>CO3</t>
  </si>
  <si>
    <t>CO4</t>
  </si>
  <si>
    <t>CO5</t>
  </si>
  <si>
    <t>CO6</t>
  </si>
  <si>
    <t>PO Mapping Factor Sum</t>
  </si>
  <si>
    <t>PO Sum</t>
  </si>
  <si>
    <t>Overall Direct PO Attainment</t>
  </si>
  <si>
    <t>A = Overall Direct PO Attainment * 0.8</t>
  </si>
  <si>
    <t>Indirect PO Attainment</t>
  </si>
  <si>
    <t>Program Exit Survey</t>
  </si>
  <si>
    <t>Industrial Training</t>
  </si>
  <si>
    <t>Workshop</t>
  </si>
  <si>
    <t>Guest Lecture/Seminar</t>
  </si>
  <si>
    <t>Total</t>
  </si>
  <si>
    <t>B = Overall indirect PO attainment (20%)</t>
  </si>
  <si>
    <t>Overall PO attainment (A+B)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</si>
</sst>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9" fontId="2" fillId="0" borderId="4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4"/>
  <sheetViews>
    <sheetView workbookViewId="0" zoomScale="100" zoomScaleNormal="100">
      <selection activeCell="C13" sqref="C13"/>
    </sheetView>
  </sheetViews>
  <sheetFormatPr defaultRowHeight="15" outlineLevelRow="0" outlineLevelCol="0" x14ac:dyDescent="0.25"/>
  <cols>
    <col min="2" max="2" width="10.42578125" customWidth="1"/>
    <col min="3" max="3" width="30.28515625" customWidth="1"/>
  </cols>
  <sheetData>
    <row r="1" spans="2:2" x14ac:dyDescent="0.25">
      <c r="B1" s="1" t="s">
        <v>0</v>
      </c>
    </row>
    <row r="2" spans="2:2" x14ac:dyDescent="0.25">
      <c r="B2" s="1" t="s">
        <v>1</v>
      </c>
    </row>
    <row r="3" spans="2:2" x14ac:dyDescent="0.25">
      <c r="B3" s="1" t="s">
        <v>2</v>
      </c>
    </row>
    <row r="4" spans="2:2" x14ac:dyDescent="0.25">
      <c r="B4" s="1" t="s">
        <v>3</v>
      </c>
    </row>
    <row r="5" spans="2:2" x14ac:dyDescent="0.25">
      <c r="B5" s="1" t="s">
        <v>4</v>
      </c>
    </row>
    <row r="7" spans="2:15" x14ac:dyDescent="0.25"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  <c r="O7" s="2" t="s">
        <v>18</v>
      </c>
    </row>
    <row r="8" spans="2:15" x14ac:dyDescent="0.25">
      <c r="B8" s="2" t="s">
        <v>19</v>
      </c>
      <c r="C8" s="3">
        <v>2.405</v>
      </c>
      <c r="D8" s="3">
        <v>2</v>
      </c>
      <c r="E8" s="3">
        <v>2</v>
      </c>
      <c r="F8" s="3">
        <v>2</v>
      </c>
      <c r="G8" s="3">
        <v>1</v>
      </c>
      <c r="H8" s="3"/>
      <c r="I8" s="3"/>
      <c r="J8" s="3"/>
      <c r="K8" s="3"/>
      <c r="L8" s="3"/>
      <c r="M8" s="3"/>
      <c r="N8" s="3"/>
      <c r="O8" s="3"/>
    </row>
    <row r="9" spans="2:15" x14ac:dyDescent="0.25">
      <c r="B9" s="2" t="s">
        <v>20</v>
      </c>
      <c r="C9" s="3">
        <v>2.405</v>
      </c>
      <c r="D9" s="3">
        <v>2</v>
      </c>
      <c r="E9" s="3">
        <v>3</v>
      </c>
      <c r="F9" s="3">
        <v>3</v>
      </c>
      <c r="G9" s="3">
        <v>2</v>
      </c>
      <c r="H9" s="3"/>
      <c r="I9" s="3"/>
      <c r="J9" s="3"/>
      <c r="K9" s="3"/>
      <c r="L9" s="3"/>
      <c r="M9" s="3"/>
      <c r="N9" s="3"/>
      <c r="O9" s="3"/>
    </row>
    <row r="10" spans="2:15" x14ac:dyDescent="0.25">
      <c r="B10" s="2" t="s">
        <v>21</v>
      </c>
      <c r="C10" s="3">
        <v>2.51</v>
      </c>
      <c r="D10" s="3">
        <v>2</v>
      </c>
      <c r="E10" s="3">
        <v>2</v>
      </c>
      <c r="F10" s="3">
        <v>3</v>
      </c>
      <c r="G10" s="3">
        <v>2</v>
      </c>
      <c r="H10" s="3"/>
      <c r="I10" s="3"/>
      <c r="J10" s="3"/>
      <c r="K10" s="3"/>
      <c r="L10" s="3"/>
      <c r="M10" s="3"/>
      <c r="N10" s="3"/>
      <c r="O10" s="3"/>
    </row>
    <row r="11" spans="2:15" x14ac:dyDescent="0.25">
      <c r="B11" s="2" t="s">
        <v>22</v>
      </c>
      <c r="C11" s="3">
        <v>2.51</v>
      </c>
      <c r="D11" s="3">
        <v>2</v>
      </c>
      <c r="E11" s="3">
        <v>3</v>
      </c>
      <c r="F11" s="3">
        <v>3</v>
      </c>
      <c r="G11" s="3">
        <v>3</v>
      </c>
      <c r="H11" s="3"/>
      <c r="I11" s="3"/>
      <c r="J11" s="3"/>
      <c r="K11" s="3"/>
      <c r="L11" s="3"/>
      <c r="M11" s="3"/>
      <c r="N11" s="3"/>
      <c r="O11" s="3"/>
    </row>
    <row r="12" spans="2:15" x14ac:dyDescent="0.25">
      <c r="B12" s="2" t="s">
        <v>23</v>
      </c>
      <c r="C12" s="3">
        <v>2.09</v>
      </c>
      <c r="D12" s="3">
        <v>2</v>
      </c>
      <c r="E12" s="3">
        <v>3</v>
      </c>
      <c r="F12" s="3">
        <v>3</v>
      </c>
      <c r="G12" s="3">
        <v>3</v>
      </c>
      <c r="H12" s="3"/>
      <c r="I12" s="3"/>
      <c r="J12" s="3"/>
      <c r="K12" s="3"/>
      <c r="L12" s="4"/>
      <c r="M12" s="3">
        <v>2</v>
      </c>
      <c r="N12" s="3">
        <v>2</v>
      </c>
      <c r="O12" s="3">
        <v>1</v>
      </c>
    </row>
    <row r="13" spans="2:15" x14ac:dyDescent="0.25">
      <c r="B13" s="2" t="s">
        <v>24</v>
      </c>
      <c r="C13" s="3">
        <v>2.09</v>
      </c>
      <c r="D13" s="3">
        <v>2</v>
      </c>
      <c r="E13" s="3">
        <v>3</v>
      </c>
      <c r="F13" s="3"/>
      <c r="G13" s="3">
        <v>3</v>
      </c>
      <c r="H13" s="3"/>
      <c r="I13" s="3"/>
      <c r="J13" s="3"/>
      <c r="K13" s="3"/>
      <c r="L13" s="4"/>
      <c r="M13" s="3">
        <v>2</v>
      </c>
      <c r="N13" s="3">
        <v>2</v>
      </c>
      <c r="O13" s="3">
        <v>2</v>
      </c>
    </row>
    <row r="14" spans="2:15" x14ac:dyDescent="0.25">
      <c r="B14" s="5" t="s">
        <v>25</v>
      </c>
      <c r="C14" s="6"/>
      <c r="D14" s="3">
        <f t="shared" ref="D14:O14" si="0">SUM(D8:D13)</f>
        <v>12</v>
      </c>
      <c r="E14" s="3">
        <f t="shared" si="0"/>
        <v>16</v>
      </c>
      <c r="F14" s="3">
        <f t="shared" si="0"/>
        <v>14</v>
      </c>
      <c r="G14" s="3">
        <f t="shared" si="0"/>
        <v>14</v>
      </c>
      <c r="H14" s="3">
        <f t="shared" si="0"/>
        <v>0</v>
      </c>
      <c r="I14" s="3">
        <f t="shared" si="0"/>
        <v>0</v>
      </c>
      <c r="J14" s="3">
        <f t="shared" si="0"/>
        <v>0</v>
      </c>
      <c r="K14" s="3">
        <f t="shared" si="0"/>
        <v>0</v>
      </c>
      <c r="L14" s="3">
        <f t="shared" si="0"/>
        <v>0</v>
      </c>
      <c r="M14" s="3">
        <f t="shared" si="0"/>
        <v>4</v>
      </c>
      <c r="N14" s="3">
        <f t="shared" si="0"/>
        <v>4</v>
      </c>
      <c r="O14" s="3">
        <f t="shared" si="0"/>
        <v>3</v>
      </c>
    </row>
    <row r="16" spans="2:15" x14ac:dyDescent="0.25">
      <c r="B16" s="2" t="s">
        <v>5</v>
      </c>
      <c r="C16" s="2"/>
      <c r="D16" s="2" t="s">
        <v>7</v>
      </c>
      <c r="E16" s="2" t="s">
        <v>8</v>
      </c>
      <c r="F16" s="2" t="s">
        <v>9</v>
      </c>
      <c r="G16" s="2" t="s">
        <v>10</v>
      </c>
      <c r="H16" s="2" t="s">
        <v>11</v>
      </c>
      <c r="I16" s="2" t="s">
        <v>12</v>
      </c>
      <c r="J16" s="2" t="s">
        <v>13</v>
      </c>
      <c r="K16" s="2" t="s">
        <v>14</v>
      </c>
      <c r="L16" s="2" t="s">
        <v>15</v>
      </c>
      <c r="M16" s="2" t="s">
        <v>16</v>
      </c>
      <c r="N16" s="2" t="s">
        <v>17</v>
      </c>
      <c r="O16" s="2" t="s">
        <v>18</v>
      </c>
    </row>
    <row r="17" spans="2:15" x14ac:dyDescent="0.25">
      <c r="B17" s="2" t="s">
        <v>19</v>
      </c>
      <c r="C17" s="3"/>
      <c r="D17" s="3">
        <f>D8*C8</f>
        <v>0</v>
      </c>
      <c r="E17" s="3">
        <f>E8*C8</f>
        <v>0</v>
      </c>
      <c r="F17" s="3">
        <f>F8*C8</f>
        <v>0</v>
      </c>
      <c r="G17" s="3">
        <f>G8*C8</f>
        <v>0</v>
      </c>
      <c r="H17" s="3"/>
      <c r="I17" s="3"/>
      <c r="J17" s="3"/>
      <c r="K17" s="3"/>
      <c r="L17" s="3"/>
      <c r="M17" s="3">
        <f>M8*C8</f>
        <v>0</v>
      </c>
      <c r="N17" s="3">
        <f>N8*C8</f>
        <v>0</v>
      </c>
      <c r="O17" s="3">
        <f>O8*C8</f>
        <v>0</v>
      </c>
    </row>
    <row r="18" spans="2:15" x14ac:dyDescent="0.25">
      <c r="B18" s="2" t="s">
        <v>20</v>
      </c>
      <c r="C18" s="3"/>
      <c r="D18" s="3">
        <f t="shared" ref="D18:D22" si="1">D9*C9</f>
        <v>0</v>
      </c>
      <c r="E18" s="3">
        <f t="shared" ref="E18:E22" si="2">E9*C9</f>
        <v>0</v>
      </c>
      <c r="F18" s="3">
        <f t="shared" ref="F18:F22" si="3">F9*C9</f>
        <v>0</v>
      </c>
      <c r="G18" s="3">
        <f t="shared" ref="G18:G22" si="4">G9*C9</f>
        <v>0</v>
      </c>
      <c r="H18" s="3"/>
      <c r="I18" s="3"/>
      <c r="J18" s="3"/>
      <c r="K18" s="3"/>
      <c r="L18" s="3"/>
      <c r="M18" s="3">
        <f t="shared" ref="M18:M22" si="5">M9*C9</f>
        <v>0</v>
      </c>
      <c r="N18" s="3">
        <f t="shared" ref="N18:N22" si="6">N9*C9</f>
        <v>0</v>
      </c>
      <c r="O18" s="3">
        <f t="shared" ref="O18:O22" si="7">O9*C9</f>
        <v>0</v>
      </c>
    </row>
    <row r="19" spans="2:15" x14ac:dyDescent="0.25">
      <c r="B19" s="2" t="s">
        <v>21</v>
      </c>
      <c r="C19" s="3"/>
      <c r="D19" s="3">
        <f t="shared" si="1"/>
        <v>0</v>
      </c>
      <c r="E19" s="3">
        <f t="shared" si="2"/>
        <v>0</v>
      </c>
      <c r="F19" s="3">
        <f t="shared" si="3"/>
        <v>0</v>
      </c>
      <c r="G19" s="3">
        <f t="shared" si="4"/>
        <v>0</v>
      </c>
      <c r="H19" s="3"/>
      <c r="I19" s="3"/>
      <c r="J19" s="3"/>
      <c r="K19" s="3"/>
      <c r="L19" s="3"/>
      <c r="M19" s="3">
        <f t="shared" si="5"/>
        <v>0</v>
      </c>
      <c r="N19" s="3">
        <f t="shared" si="6"/>
        <v>0</v>
      </c>
      <c r="O19" s="3">
        <f t="shared" si="7"/>
        <v>0</v>
      </c>
    </row>
    <row r="20" spans="2:15" x14ac:dyDescent="0.25">
      <c r="B20" s="2" t="s">
        <v>22</v>
      </c>
      <c r="C20" s="3"/>
      <c r="D20" s="3">
        <f t="shared" si="1"/>
        <v>0</v>
      </c>
      <c r="E20" s="3">
        <f t="shared" si="2"/>
        <v>0</v>
      </c>
      <c r="F20" s="3">
        <f t="shared" si="3"/>
        <v>0</v>
      </c>
      <c r="G20" s="3">
        <f t="shared" si="4"/>
        <v>0</v>
      </c>
      <c r="H20" s="3"/>
      <c r="I20" s="3"/>
      <c r="J20" s="3"/>
      <c r="K20" s="3"/>
      <c r="L20" s="3"/>
      <c r="M20" s="3">
        <f t="shared" si="5"/>
        <v>0</v>
      </c>
      <c r="N20" s="3">
        <f t="shared" si="6"/>
        <v>0</v>
      </c>
      <c r="O20" s="3">
        <f t="shared" si="7"/>
        <v>0</v>
      </c>
    </row>
    <row r="21" spans="2:15" x14ac:dyDescent="0.25">
      <c r="B21" s="2" t="s">
        <v>23</v>
      </c>
      <c r="C21" s="3"/>
      <c r="D21" s="3">
        <f t="shared" si="1"/>
        <v>0</v>
      </c>
      <c r="E21" s="3">
        <f t="shared" si="2"/>
        <v>0</v>
      </c>
      <c r="F21" s="3">
        <f t="shared" si="3"/>
        <v>0</v>
      </c>
      <c r="G21" s="3">
        <f t="shared" si="4"/>
        <v>0</v>
      </c>
      <c r="H21" s="3"/>
      <c r="I21" s="3"/>
      <c r="J21" s="3"/>
      <c r="K21" s="3"/>
      <c r="L21" s="4"/>
      <c r="M21" s="3">
        <f t="shared" si="5"/>
        <v>0</v>
      </c>
      <c r="N21" s="3">
        <f t="shared" si="6"/>
        <v>0</v>
      </c>
      <c r="O21" s="3">
        <f t="shared" si="7"/>
        <v>0</v>
      </c>
    </row>
    <row r="22" spans="2:15" x14ac:dyDescent="0.25">
      <c r="B22" s="2" t="s">
        <v>24</v>
      </c>
      <c r="C22" s="3"/>
      <c r="D22" s="3">
        <f t="shared" si="1"/>
        <v>0</v>
      </c>
      <c r="E22" s="3">
        <f t="shared" si="2"/>
        <v>0</v>
      </c>
      <c r="F22" s="3">
        <f t="shared" si="3"/>
        <v>0</v>
      </c>
      <c r="G22" s="3">
        <f t="shared" si="4"/>
        <v>0</v>
      </c>
      <c r="H22" s="3"/>
      <c r="I22" s="3"/>
      <c r="J22" s="3"/>
      <c r="K22" s="3"/>
      <c r="L22" s="4"/>
      <c r="M22" s="3">
        <f t="shared" si="5"/>
        <v>0</v>
      </c>
      <c r="N22" s="3">
        <f t="shared" si="6"/>
        <v>0</v>
      </c>
      <c r="O22" s="3">
        <f t="shared" si="7"/>
        <v>0</v>
      </c>
    </row>
    <row r="23" spans="2:15" x14ac:dyDescent="0.25">
      <c r="B23" s="2" t="s">
        <v>26</v>
      </c>
      <c r="C23" s="3"/>
      <c r="D23" s="3">
        <f t="shared" ref="D23:O23" si="8">SUM(D17:D22)</f>
        <v>0</v>
      </c>
      <c r="E23" s="3">
        <f t="shared" si="8"/>
        <v>0</v>
      </c>
      <c r="F23" s="3">
        <f t="shared" si="8"/>
        <v>0</v>
      </c>
      <c r="G23" s="3">
        <f t="shared" si="8"/>
        <v>0</v>
      </c>
      <c r="H23" s="3">
        <f t="shared" si="8"/>
        <v>0</v>
      </c>
      <c r="I23" s="3">
        <f t="shared" si="8"/>
        <v>0</v>
      </c>
      <c r="J23" s="3">
        <f t="shared" si="8"/>
        <v>0</v>
      </c>
      <c r="K23" s="3">
        <f t="shared" si="8"/>
        <v>0</v>
      </c>
      <c r="L23" s="3">
        <f t="shared" si="8"/>
        <v>0</v>
      </c>
      <c r="M23" s="3">
        <f t="shared" si="8"/>
        <v>0</v>
      </c>
      <c r="N23" s="3">
        <f t="shared" si="8"/>
        <v>0</v>
      </c>
      <c r="O23" s="3">
        <f t="shared" si="8"/>
        <v>0</v>
      </c>
    </row>
    <row r="24" spans="2:15" x14ac:dyDescent="0.25">
      <c r="B24" s="5" t="s">
        <v>27</v>
      </c>
      <c r="C24" s="6"/>
      <c r="D24" s="3">
        <f>D23/D14</f>
        <v>0</v>
      </c>
      <c r="E24" s="3">
        <f>E23/E14</f>
        <v>0</v>
      </c>
      <c r="F24" s="3">
        <f>F23/F14</f>
        <v>0</v>
      </c>
      <c r="G24" s="3">
        <f>G23/G14</f>
        <v>0</v>
      </c>
      <c r="H24" s="3"/>
      <c r="I24" s="3"/>
      <c r="J24" s="3"/>
      <c r="K24" s="3"/>
      <c r="L24" s="3"/>
      <c r="M24" s="3">
        <f t="shared" ref="H24:O24" si="9">M23/M14</f>
        <v>0</v>
      </c>
      <c r="N24" s="3">
        <f t="shared" si="9"/>
        <v>0</v>
      </c>
      <c r="O24" s="3">
        <f t="shared" si="9"/>
        <v>0</v>
      </c>
    </row>
    <row r="25" spans="2:15" x14ac:dyDescent="0.25">
      <c r="B25" s="5" t="s">
        <v>28</v>
      </c>
      <c r="C25" s="6"/>
      <c r="D25" s="3">
        <f t="shared" ref="D25:I25" si="10">D24*0.8</f>
        <v>0</v>
      </c>
      <c r="E25" s="3">
        <f t="shared" si="10"/>
        <v>0</v>
      </c>
      <c r="F25" s="3">
        <f t="shared" si="10"/>
        <v>0</v>
      </c>
      <c r="G25" s="3">
        <f t="shared" si="10"/>
        <v>0</v>
      </c>
      <c r="H25" s="3">
        <f t="shared" si="10"/>
        <v>0</v>
      </c>
      <c r="I25" s="3">
        <f t="shared" si="10"/>
        <v>0</v>
      </c>
      <c r="J25" s="3">
        <f t="shared" ref="J25:L25" si="11">J24*0.8</f>
        <v>0</v>
      </c>
      <c r="K25" s="3">
        <f t="shared" si="11"/>
        <v>0</v>
      </c>
      <c r="L25" s="3">
        <f t="shared" si="11"/>
        <v>0</v>
      </c>
      <c r="M25" s="3">
        <f t="shared" ref="M25" si="12">M24*0.8</f>
        <v>0</v>
      </c>
      <c r="N25" s="3">
        <f t="shared" ref="N25" si="13">N24*0.8</f>
        <v>0</v>
      </c>
      <c r="O25" s="3">
        <f t="shared" ref="O25" si="14">O24*0.8</f>
        <v>0</v>
      </c>
    </row>
    <row r="27" spans="2:15" x14ac:dyDescent="0.25">
      <c r="B27" s="7" t="s">
        <v>29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2:15" x14ac:dyDescent="0.25">
      <c r="B28" s="8">
        <v>0.2</v>
      </c>
      <c r="C28" s="9" t="s">
        <v>30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2:15" x14ac:dyDescent="0.25">
      <c r="B29" s="10"/>
      <c r="C29" s="9" t="s">
        <v>31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2:15" x14ac:dyDescent="0.25">
      <c r="B30" s="10"/>
      <c r="C30" s="9" t="s">
        <v>32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2:15" x14ac:dyDescent="0.25">
      <c r="B31" s="10"/>
      <c r="C31" s="9" t="s">
        <v>33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2:15" x14ac:dyDescent="0.25">
      <c r="B32" s="11"/>
      <c r="C32" s="9" t="s">
        <v>34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2:15" x14ac:dyDescent="0.25">
      <c r="B33" s="12" t="s">
        <v>35</v>
      </c>
      <c r="C33" s="1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2:15" x14ac:dyDescent="0.25">
      <c r="B34" s="12" t="s">
        <v>36</v>
      </c>
      <c r="C34" s="13"/>
      <c r="D34" s="2">
        <f>D25+D33</f>
        <v>0</v>
      </c>
      <c r="E34" s="2">
        <f t="shared" ref="E34:O34" si="15">E25+E33</f>
        <v>0</v>
      </c>
      <c r="F34" s="2">
        <f t="shared" si="15"/>
        <v>0</v>
      </c>
      <c r="G34" s="2">
        <f t="shared" si="15"/>
        <v>0</v>
      </c>
      <c r="H34" s="2">
        <f t="shared" si="15"/>
        <v>0</v>
      </c>
      <c r="I34" s="2">
        <f t="shared" si="15"/>
        <v>0</v>
      </c>
      <c r="J34" s="2">
        <f t="shared" si="15"/>
        <v>0</v>
      </c>
      <c r="K34" s="2">
        <f t="shared" si="15"/>
        <v>0</v>
      </c>
      <c r="L34" s="2">
        <f t="shared" si="15"/>
        <v>0</v>
      </c>
      <c r="M34" s="2">
        <f t="shared" si="15"/>
        <v>0</v>
      </c>
      <c r="N34" s="2">
        <f t="shared" si="15"/>
        <v>0</v>
      </c>
      <c r="O34" s="2">
        <f t="shared" si="15"/>
        <v>0</v>
      </c>
    </row>
  </sheetData>
  <mergeCells count="7">
    <mergeCell ref="B14:C14"/>
    <mergeCell ref="B24:C24"/>
    <mergeCell ref="B25:C25"/>
    <mergeCell ref="B27:O27"/>
    <mergeCell ref="B28:B32"/>
    <mergeCell ref="B33:C33"/>
    <mergeCell ref="B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Attainment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Shrivastava</cp:lastModifiedBy>
  <dcterms:created xsi:type="dcterms:W3CDTF">2026-04-01T14:47:11Z</dcterms:created>
  <dcterms:modified xsi:type="dcterms:W3CDTF">2026-04-14T11:45:01Z</dcterms:modified>
</cp:coreProperties>
</file>