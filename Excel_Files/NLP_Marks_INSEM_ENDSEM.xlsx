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kash Shrivastava\Desktop\CO\"/>
    </mc:Choice>
  </mc:AlternateContent>
  <xr:revisionPtr revIDLastSave="0" documentId="13_ncr:1_{18DCCEA8-9ED6-4D45-85C6-D41815B8D3C9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NLP Marks" sheetId="1" r:id="rId1"/>
  </sheets>
  <calcPr calcId="191029"/>
</workbook>
</file>

<file path=xl/calcChain.xml><?xml version="1.0" encoding="utf-8"?>
<calcChain xmlns="http://schemas.openxmlformats.org/spreadsheetml/2006/main">
  <c r="D32" i="1" l="1"/>
  <c r="D33" i="1" s="1"/>
  <c r="D35" i="1" s="1"/>
  <c r="F32" i="1"/>
  <c r="F33" i="1" s="1"/>
  <c r="F35" i="1" s="1"/>
  <c r="E32" i="1"/>
  <c r="E33" i="1" s="1"/>
  <c r="E35" i="1" s="1"/>
</calcChain>
</file>

<file path=xl/sharedStrings.xml><?xml version="1.0" encoding="utf-8"?>
<sst xmlns="http://schemas.openxmlformats.org/spreadsheetml/2006/main" count="73" uniqueCount="73">
  <si>
    <t>SR.NO</t>
  </si>
  <si>
    <t>Seat No</t>
  </si>
  <si>
    <t>Name</t>
  </si>
  <si>
    <t>IN (Unit 1,2)</t>
  </si>
  <si>
    <t>END (Unit 3-6)</t>
  </si>
  <si>
    <t>Total</t>
  </si>
  <si>
    <t>T1905202001</t>
  </si>
  <si>
    <t>ADSUL PRIYA PRAVINKUMAR</t>
  </si>
  <si>
    <t>T1905202002</t>
  </si>
  <si>
    <t>AMAN SANJAY GUPTA</t>
  </si>
  <si>
    <t>T1905202003</t>
  </si>
  <si>
    <t>ANJALI RAVINDRA GHANGURDE</t>
  </si>
  <si>
    <t>T1905202004</t>
  </si>
  <si>
    <t>ANURAG KERBHAU SANDBHOR</t>
  </si>
  <si>
    <t>T1905202005</t>
  </si>
  <si>
    <t>BAGAL SAMRUDDHI ANANDRAO</t>
  </si>
  <si>
    <t>T1905202006</t>
  </si>
  <si>
    <t>BANSODE SHREYASH PARMESHWAR</t>
  </si>
  <si>
    <t>T1905202007</t>
  </si>
  <si>
    <t>BHAMBE OMKAR PRATAP</t>
  </si>
  <si>
    <t>T1905202008</t>
  </si>
  <si>
    <t>BHAVSAR RUTUJA PRAMOD</t>
  </si>
  <si>
    <t>T1905202009</t>
  </si>
  <si>
    <t>BHOSALE KAMLESH BABASAHEB</t>
  </si>
  <si>
    <t>T1905202010</t>
  </si>
  <si>
    <t>BORSE AARYAN RAHUL</t>
  </si>
  <si>
    <t>T1905202011</t>
  </si>
  <si>
    <t>GAIKWAD ADITYABODHI MAHENDRA</t>
  </si>
  <si>
    <t>T1905202012</t>
  </si>
  <si>
    <t>GHADGE SHRUTI DAYANAND</t>
  </si>
  <si>
    <t>T1905202013</t>
  </si>
  <si>
    <t>JALNIL AKSHAY KRISHNA</t>
  </si>
  <si>
    <t>T1905202014</t>
  </si>
  <si>
    <t>KATIKAR VAISHNAVI DHANANJAY</t>
  </si>
  <si>
    <t>T1905202015</t>
  </si>
  <si>
    <t>MAHARUDRA SHIVRAJ GANJURE</t>
  </si>
  <si>
    <t>T1905202016</t>
  </si>
  <si>
    <t>MASURKAR ANUP GANESH</t>
  </si>
  <si>
    <t>T1905202017</t>
  </si>
  <si>
    <t>MORE PRANALI SANGRAM</t>
  </si>
  <si>
    <t>T1905202018</t>
  </si>
  <si>
    <t>NAGARE ROSHANI SUKDEV</t>
  </si>
  <si>
    <t>T1905202019</t>
  </si>
  <si>
    <t>SARODE VISHAL ARUN</t>
  </si>
  <si>
    <t>T1905202020</t>
  </si>
  <si>
    <t>SHARMA NILAY HEMANT</t>
  </si>
  <si>
    <t>T1905202021</t>
  </si>
  <si>
    <t>SHEIKH AYESHA MASROOR</t>
  </si>
  <si>
    <t>T1905202022</t>
  </si>
  <si>
    <t>SHRADDHA GADE</t>
  </si>
  <si>
    <t>T1905202023</t>
  </si>
  <si>
    <t>TAMHANKAR SHRUTI PRAVIN</t>
  </si>
  <si>
    <t>T1905202024</t>
  </si>
  <si>
    <t>THAKUR GAJENDRASINGH VIJAYSINGH</t>
  </si>
  <si>
    <t>T1905202025</t>
  </si>
  <si>
    <t>VARAT GAURAV LAHU</t>
  </si>
  <si>
    <t>T1905202026</t>
  </si>
  <si>
    <t>WAGH HARSHADA DADA</t>
  </si>
  <si>
    <t>T1905202027</t>
  </si>
  <si>
    <t>YADAV SHIVAM ANILKUMAR</t>
  </si>
  <si>
    <t>T1905202028</t>
  </si>
  <si>
    <t>YASH MILIND PATHAK</t>
  </si>
  <si>
    <t>T400520260</t>
  </si>
  <si>
    <t>ELBHAR KESHAV MAHIPAT</t>
  </si>
  <si>
    <t>Average</t>
  </si>
  <si>
    <t>Students above average</t>
  </si>
  <si>
    <t>Total Students</t>
  </si>
  <si>
    <t>% Above Average</t>
  </si>
  <si>
    <t>Level of Attainment</t>
  </si>
  <si>
    <t>Rule for Attainment</t>
  </si>
  <si>
    <t>60% or more students having more than average marks</t>
  </si>
  <si>
    <t>50% or more students having more than average marks</t>
  </si>
  <si>
    <t>40% or more students scoring more than 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</si>
</sst>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4" workbookViewId="0">
      <selection activeCell="A36" sqref="A36:F37"/>
    </sheetView>
  </sheetViews>
  <sheetFormatPr defaultRowHeight="15" x14ac:dyDescent="0.25"/>
  <cols>
    <col min="1" max="1" width="9.42578125" customWidth="1"/>
    <col min="2" max="2" width="15.140625" customWidth="1"/>
    <col min="3" max="3" width="35.28515625" bestFit="1" customWidth="1"/>
    <col min="4" max="4" width="12" bestFit="1" customWidth="1"/>
    <col min="5" max="5" width="18.5703125" bestFit="1" customWidth="1"/>
    <col min="6" max="6" width="28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3" t="s">
        <v>6</v>
      </c>
      <c r="C2" s="3" t="s">
        <v>7</v>
      </c>
      <c r="D2" s="3">
        <v>19</v>
      </c>
      <c r="E2" s="3">
        <v>36</v>
      </c>
      <c r="F2" s="3">
        <v>55</v>
      </c>
    </row>
    <row r="3" spans="1:6" x14ac:dyDescent="0.25">
      <c r="A3" s="3">
        <v>2</v>
      </c>
      <c r="B3" s="3" t="s">
        <v>8</v>
      </c>
      <c r="C3" s="3" t="s">
        <v>9</v>
      </c>
      <c r="D3" s="3">
        <v>18</v>
      </c>
      <c r="E3" s="3">
        <v>47</v>
      </c>
      <c r="F3" s="3">
        <v>65</v>
      </c>
    </row>
    <row r="4" spans="1:6" x14ac:dyDescent="0.25">
      <c r="A4" s="3">
        <v>3</v>
      </c>
      <c r="B4" s="3" t="s">
        <v>10</v>
      </c>
      <c r="C4" s="3" t="s">
        <v>11</v>
      </c>
      <c r="D4" s="3">
        <v>17</v>
      </c>
      <c r="E4" s="3">
        <v>44</v>
      </c>
      <c r="F4" s="3">
        <v>61</v>
      </c>
    </row>
    <row r="5" spans="1:6" x14ac:dyDescent="0.25">
      <c r="A5" s="3">
        <v>4</v>
      </c>
      <c r="B5" s="3" t="s">
        <v>12</v>
      </c>
      <c r="C5" s="3" t="s">
        <v>13</v>
      </c>
      <c r="D5" s="3">
        <v>19</v>
      </c>
      <c r="E5" s="3">
        <v>59</v>
      </c>
      <c r="F5" s="3">
        <v>78</v>
      </c>
    </row>
    <row r="6" spans="1:6" x14ac:dyDescent="0.25">
      <c r="A6" s="3">
        <v>5</v>
      </c>
      <c r="B6" s="3" t="s">
        <v>14</v>
      </c>
      <c r="C6" s="3" t="s">
        <v>15</v>
      </c>
      <c r="D6" s="3">
        <v>24</v>
      </c>
      <c r="E6" s="3">
        <v>61</v>
      </c>
      <c r="F6" s="3">
        <v>85</v>
      </c>
    </row>
    <row r="7" spans="1:6" x14ac:dyDescent="0.25">
      <c r="A7" s="3">
        <v>6</v>
      </c>
      <c r="B7" s="3" t="s">
        <v>16</v>
      </c>
      <c r="C7" s="3" t="s">
        <v>17</v>
      </c>
      <c r="D7" s="3">
        <v>15</v>
      </c>
      <c r="E7" s="3">
        <v>35</v>
      </c>
      <c r="F7" s="3">
        <v>50</v>
      </c>
    </row>
    <row r="8" spans="1:6" x14ac:dyDescent="0.25">
      <c r="A8" s="3">
        <v>7</v>
      </c>
      <c r="B8" s="3" t="s">
        <v>18</v>
      </c>
      <c r="C8" s="3" t="s">
        <v>19</v>
      </c>
      <c r="D8" s="3">
        <v>24</v>
      </c>
      <c r="E8" s="3">
        <v>52</v>
      </c>
      <c r="F8" s="3">
        <v>76</v>
      </c>
    </row>
    <row r="9" spans="1:6" x14ac:dyDescent="0.25">
      <c r="A9" s="3">
        <v>8</v>
      </c>
      <c r="B9" s="3" t="s">
        <v>20</v>
      </c>
      <c r="C9" s="3" t="s">
        <v>21</v>
      </c>
      <c r="D9" s="3">
        <v>20</v>
      </c>
      <c r="E9" s="3">
        <v>54</v>
      </c>
      <c r="F9" s="3">
        <v>74</v>
      </c>
    </row>
    <row r="10" spans="1:6" x14ac:dyDescent="0.25">
      <c r="A10" s="3">
        <v>9</v>
      </c>
      <c r="B10" s="3" t="s">
        <v>22</v>
      </c>
      <c r="C10" s="3" t="s">
        <v>23</v>
      </c>
      <c r="D10" s="3">
        <v>12</v>
      </c>
      <c r="E10" s="3">
        <v>42</v>
      </c>
      <c r="F10" s="3">
        <v>54</v>
      </c>
    </row>
    <row r="11" spans="1:6" x14ac:dyDescent="0.25">
      <c r="A11" s="3">
        <v>10</v>
      </c>
      <c r="B11" s="3" t="s">
        <v>24</v>
      </c>
      <c r="C11" s="3" t="s">
        <v>25</v>
      </c>
      <c r="D11" s="3">
        <v>23</v>
      </c>
      <c r="E11" s="3">
        <v>45</v>
      </c>
      <c r="F11" s="3">
        <v>68</v>
      </c>
    </row>
    <row r="12" spans="1:6" x14ac:dyDescent="0.25">
      <c r="A12" s="3">
        <v>11</v>
      </c>
      <c r="B12" s="3" t="s">
        <v>26</v>
      </c>
      <c r="C12" s="3" t="s">
        <v>27</v>
      </c>
      <c r="D12" s="3">
        <v>20</v>
      </c>
      <c r="E12" s="3">
        <v>50</v>
      </c>
      <c r="F12" s="3">
        <v>70</v>
      </c>
    </row>
    <row r="13" spans="1:6" x14ac:dyDescent="0.25">
      <c r="A13" s="3">
        <v>12</v>
      </c>
      <c r="B13" s="3" t="s">
        <v>28</v>
      </c>
      <c r="C13" s="3" t="s">
        <v>29</v>
      </c>
      <c r="D13" s="3">
        <v>26</v>
      </c>
      <c r="E13" s="3">
        <v>52</v>
      </c>
      <c r="F13" s="3">
        <v>78</v>
      </c>
    </row>
    <row r="14" spans="1:6" x14ac:dyDescent="0.25">
      <c r="A14" s="3">
        <v>13</v>
      </c>
      <c r="B14" s="3" t="s">
        <v>30</v>
      </c>
      <c r="C14" s="3" t="s">
        <v>31</v>
      </c>
      <c r="D14" s="3">
        <v>23</v>
      </c>
      <c r="E14" s="3">
        <v>52</v>
      </c>
      <c r="F14" s="3">
        <v>75</v>
      </c>
    </row>
    <row r="15" spans="1:6" x14ac:dyDescent="0.25">
      <c r="A15" s="3">
        <v>14</v>
      </c>
      <c r="B15" s="3" t="s">
        <v>32</v>
      </c>
      <c r="C15" s="3" t="s">
        <v>33</v>
      </c>
      <c r="D15" s="3">
        <v>21</v>
      </c>
      <c r="E15" s="3">
        <v>57</v>
      </c>
      <c r="F15" s="3">
        <v>78</v>
      </c>
    </row>
    <row r="16" spans="1:6" x14ac:dyDescent="0.25">
      <c r="A16" s="3">
        <v>15</v>
      </c>
      <c r="B16" s="3" t="s">
        <v>34</v>
      </c>
      <c r="C16" s="3" t="s">
        <v>35</v>
      </c>
      <c r="D16" s="3">
        <v>24</v>
      </c>
      <c r="E16" s="3">
        <v>53</v>
      </c>
      <c r="F16" s="3">
        <v>77</v>
      </c>
    </row>
    <row r="17" spans="1:6" x14ac:dyDescent="0.25">
      <c r="A17" s="3">
        <v>16</v>
      </c>
      <c r="B17" s="3" t="s">
        <v>36</v>
      </c>
      <c r="C17" s="3" t="s">
        <v>37</v>
      </c>
      <c r="D17" s="3">
        <v>21</v>
      </c>
      <c r="E17" s="3">
        <v>40</v>
      </c>
      <c r="F17" s="3">
        <v>61</v>
      </c>
    </row>
    <row r="18" spans="1:6" x14ac:dyDescent="0.25">
      <c r="A18" s="3">
        <v>17</v>
      </c>
      <c r="B18" s="3" t="s">
        <v>38</v>
      </c>
      <c r="C18" s="3" t="s">
        <v>39</v>
      </c>
      <c r="D18" s="3">
        <v>20</v>
      </c>
      <c r="E18" s="3">
        <v>39</v>
      </c>
      <c r="F18" s="3">
        <v>59</v>
      </c>
    </row>
    <row r="19" spans="1:6" x14ac:dyDescent="0.25">
      <c r="A19" s="3">
        <v>18</v>
      </c>
      <c r="B19" s="3" t="s">
        <v>40</v>
      </c>
      <c r="C19" s="3" t="s">
        <v>41</v>
      </c>
      <c r="D19" s="3">
        <v>20</v>
      </c>
      <c r="E19" s="3">
        <v>55</v>
      </c>
      <c r="F19" s="3">
        <v>75</v>
      </c>
    </row>
    <row r="20" spans="1:6" x14ac:dyDescent="0.25">
      <c r="A20" s="3">
        <v>19</v>
      </c>
      <c r="B20" s="3" t="s">
        <v>42</v>
      </c>
      <c r="C20" s="3" t="s">
        <v>43</v>
      </c>
      <c r="D20" s="3">
        <v>16</v>
      </c>
      <c r="E20" s="3">
        <v>46</v>
      </c>
      <c r="F20" s="3">
        <v>62</v>
      </c>
    </row>
    <row r="21" spans="1:6" x14ac:dyDescent="0.25">
      <c r="A21" s="3">
        <v>20</v>
      </c>
      <c r="B21" s="3" t="s">
        <v>44</v>
      </c>
      <c r="C21" s="3" t="s">
        <v>45</v>
      </c>
      <c r="D21" s="3">
        <v>14</v>
      </c>
      <c r="E21" s="3">
        <v>41</v>
      </c>
      <c r="F21" s="3">
        <v>55</v>
      </c>
    </row>
    <row r="22" spans="1:6" x14ac:dyDescent="0.25">
      <c r="A22" s="3">
        <v>21</v>
      </c>
      <c r="B22" s="3" t="s">
        <v>46</v>
      </c>
      <c r="C22" s="3" t="s">
        <v>47</v>
      </c>
      <c r="D22" s="3">
        <v>24</v>
      </c>
      <c r="E22" s="3">
        <v>57</v>
      </c>
      <c r="F22" s="3">
        <v>81</v>
      </c>
    </row>
    <row r="23" spans="1:6" x14ac:dyDescent="0.25">
      <c r="A23" s="3">
        <v>22</v>
      </c>
      <c r="B23" s="3" t="s">
        <v>48</v>
      </c>
      <c r="C23" s="3" t="s">
        <v>49</v>
      </c>
      <c r="D23" s="3">
        <v>24</v>
      </c>
      <c r="E23" s="3">
        <v>54</v>
      </c>
      <c r="F23" s="3">
        <v>78</v>
      </c>
    </row>
    <row r="24" spans="1:6" x14ac:dyDescent="0.25">
      <c r="A24" s="3">
        <v>23</v>
      </c>
      <c r="B24" s="3" t="s">
        <v>50</v>
      </c>
      <c r="C24" s="3" t="s">
        <v>51</v>
      </c>
      <c r="D24" s="3">
        <v>22</v>
      </c>
      <c r="E24" s="3">
        <v>46</v>
      </c>
      <c r="F24" s="3">
        <v>68</v>
      </c>
    </row>
    <row r="25" spans="1:6" x14ac:dyDescent="0.25">
      <c r="A25" s="3">
        <v>24</v>
      </c>
      <c r="B25" s="3" t="s">
        <v>52</v>
      </c>
      <c r="C25" s="3" t="s">
        <v>53</v>
      </c>
      <c r="D25" s="3">
        <v>22</v>
      </c>
      <c r="E25" s="3">
        <v>60</v>
      </c>
      <c r="F25" s="3">
        <v>82</v>
      </c>
    </row>
    <row r="26" spans="1:6" x14ac:dyDescent="0.25">
      <c r="A26" s="3">
        <v>25</v>
      </c>
      <c r="B26" s="3" t="s">
        <v>54</v>
      </c>
      <c r="C26" s="3" t="s">
        <v>55</v>
      </c>
      <c r="D26" s="3">
        <v>20</v>
      </c>
      <c r="E26" s="3">
        <v>54</v>
      </c>
      <c r="F26" s="3">
        <v>74</v>
      </c>
    </row>
    <row r="27" spans="1:6" x14ac:dyDescent="0.25">
      <c r="A27" s="3">
        <v>26</v>
      </c>
      <c r="B27" s="3" t="s">
        <v>56</v>
      </c>
      <c r="C27" s="3" t="s">
        <v>57</v>
      </c>
      <c r="D27" s="3">
        <v>18</v>
      </c>
      <c r="E27" s="3">
        <v>53</v>
      </c>
      <c r="F27" s="3">
        <v>71</v>
      </c>
    </row>
    <row r="28" spans="1:6" x14ac:dyDescent="0.25">
      <c r="A28" s="3">
        <v>27</v>
      </c>
      <c r="B28" s="3" t="s">
        <v>58</v>
      </c>
      <c r="C28" s="3" t="s">
        <v>59</v>
      </c>
      <c r="D28" s="3">
        <v>20</v>
      </c>
      <c r="E28" s="3">
        <v>55</v>
      </c>
      <c r="F28" s="3">
        <v>75</v>
      </c>
    </row>
    <row r="29" spans="1:6" x14ac:dyDescent="0.25">
      <c r="A29" s="3">
        <v>28</v>
      </c>
      <c r="B29" s="3" t="s">
        <v>60</v>
      </c>
      <c r="C29" s="3" t="s">
        <v>61</v>
      </c>
      <c r="D29" s="3">
        <v>18</v>
      </c>
      <c r="E29" s="3">
        <v>51</v>
      </c>
      <c r="F29" s="3">
        <v>69</v>
      </c>
    </row>
    <row r="30" spans="1:6" x14ac:dyDescent="0.25">
      <c r="A30" s="3">
        <v>29</v>
      </c>
      <c r="B30" s="3" t="s">
        <v>62</v>
      </c>
      <c r="C30" s="3" t="s">
        <v>63</v>
      </c>
      <c r="D30" s="3">
        <v>13</v>
      </c>
      <c r="E30" s="3">
        <v>46</v>
      </c>
      <c r="F30" s="3">
        <v>59</v>
      </c>
    </row>
    <row r="32" spans="1:6" x14ac:dyDescent="0.25">
      <c r="A32" s="8" t="s">
        <v>64</v>
      </c>
      <c r="B32" s="9"/>
      <c r="C32" s="10"/>
      <c r="D32" s="1">
        <f>AVERAGE(D2:D30)</f>
        <v>19.896551724137932</v>
      </c>
      <c r="E32" s="1">
        <f>AVERAGE(E2:E30)</f>
        <v>49.517241379310342</v>
      </c>
      <c r="F32" s="1">
        <f>AVERAGE(F2:F30)</f>
        <v>69.41379310344827</v>
      </c>
    </row>
    <row r="33" spans="1:6" x14ac:dyDescent="0.25">
      <c r="A33" s="8" t="s">
        <v>65</v>
      </c>
      <c r="B33" s="9"/>
      <c r="C33" s="10"/>
      <c r="D33" s="1">
        <f>COUNTIF(D2:D30,"&gt;"&amp;D32)</f>
        <v>18</v>
      </c>
      <c r="E33" s="1">
        <f>COUNTIF(E2:E30,"&gt;"&amp;E32)</f>
        <v>17</v>
      </c>
      <c r="F33" s="1">
        <f>COUNTIF(F2:F30,"&gt;"&amp;F32)</f>
        <v>16</v>
      </c>
    </row>
    <row r="34" spans="1:6" x14ac:dyDescent="0.25">
      <c r="A34" s="8" t="s">
        <v>66</v>
      </c>
      <c r="B34" s="9"/>
      <c r="C34" s="10"/>
      <c r="D34" s="1">
        <v>29</v>
      </c>
      <c r="E34" s="1">
        <v>29</v>
      </c>
      <c r="F34" s="1">
        <v>29</v>
      </c>
    </row>
    <row r="35" spans="1:6" x14ac:dyDescent="0.25">
      <c r="A35" s="8" t="s">
        <v>67</v>
      </c>
      <c r="B35" s="9"/>
      <c r="C35" s="10"/>
      <c r="D35" s="1">
        <f>D33/D34*100</f>
        <v>62.068965517241381</v>
      </c>
      <c r="E35" s="1">
        <f>E33/E34*100</f>
        <v>58.620689655172406</v>
      </c>
      <c r="F35" s="1">
        <f>F33/F34*100</f>
        <v>55.172413793103445</v>
      </c>
    </row>
    <row r="36" spans="1:6" x14ac:dyDescent="0.25">
      <c r="A36" s="11"/>
      <c r="B36" s="12"/>
      <c r="C36" s="13"/>
      <c r="D36" s="7"/>
      <c r="E36" s="7"/>
      <c r="F36" s="7"/>
    </row>
    <row r="37" spans="1:6" x14ac:dyDescent="0.25">
      <c r="D37" s="7"/>
      <c r="E37" s="7"/>
      <c r="F37" s="7"/>
    </row>
    <row r="38" spans="1:6" x14ac:dyDescent="0.25">
      <c r="E38" s="4"/>
    </row>
    <row r="46" spans="1:6" ht="30" x14ac:dyDescent="0.25">
      <c r="B46" s="5" t="s">
        <v>68</v>
      </c>
      <c r="C46" s="5" t="s">
        <v>69</v>
      </c>
    </row>
    <row r="47" spans="1:6" ht="30" x14ac:dyDescent="0.25">
      <c r="B47" s="6">
        <v>3</v>
      </c>
      <c r="C47" s="6" t="s">
        <v>70</v>
      </c>
    </row>
    <row r="48" spans="1:6" ht="30" x14ac:dyDescent="0.25">
      <c r="B48" s="6">
        <v>2</v>
      </c>
      <c r="C48" s="6" t="s">
        <v>71</v>
      </c>
    </row>
    <row r="49" spans="2:3" ht="30" x14ac:dyDescent="0.25">
      <c r="B49" s="6">
        <v>1</v>
      </c>
      <c r="C49" s="6" t="s">
        <v>72</v>
      </c>
    </row>
  </sheetData>
  <mergeCells count="5">
    <mergeCell ref="A32:C32"/>
    <mergeCell ref="A33:C33"/>
    <mergeCell ref="A34:C34"/>
    <mergeCell ref="A35:C35"/>
    <mergeCell ref="A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NLP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Shrivastava</cp:lastModifiedBy>
  <dcterms:created xsi:type="dcterms:W3CDTF">2026-03-31T15:28:26Z</dcterms:created>
  <dcterms:modified xsi:type="dcterms:W3CDTF">2026-04-13T18:05:51Z</dcterms:modified>
</cp:coreProperties>
</file>