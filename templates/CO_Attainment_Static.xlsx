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esktop\CO_Try\"/>
    </mc:Choice>
  </mc:AlternateContent>
  <xr:revisionPtr revIDLastSave="0" documentId="13_ncr:1_{D6241FBB-3407-45FC-9963-D8899B793004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CO Attainment" sheetId="1" r:id="rId1"/>
  </sheets>
  <calcPr calcId="191029"/>
</workbook>
</file>

<file path=xl/calcChain.xml><?xml version="1.0" encoding="utf-8"?>
<calcChain xmlns="http://schemas.openxmlformats.org/spreadsheetml/2006/main">
  <c r="D22" i="1" l="1"/>
  <c r="E22" i="1"/>
  <c r="F22" i="1"/>
  <c r="G22" i="1"/>
  <c r="H22" i="1"/>
  <c r="C22" i="1"/>
  <c r="D18" i="1"/>
  <c r="E18" i="1"/>
  <c r="F18" i="1"/>
  <c r="G18" i="1"/>
  <c r="H18" i="1"/>
  <c r="C18" i="1"/>
  <c r="D13" i="1"/>
  <c r="D14" i="1" s="1"/>
  <c r="E13" i="1"/>
  <c r="E14" i="1" s="1"/>
  <c r="E19" i="1" s="1"/>
  <c r="E23" i="1" s="1"/>
  <c r="F13" i="1"/>
  <c r="F14" i="1" s="1"/>
  <c r="G13" i="1"/>
  <c r="G14" i="1" s="1"/>
  <c r="G19" i="1" s="1"/>
  <c r="G23" i="1" s="1"/>
  <c r="H13" i="1"/>
  <c r="H14" i="1" s="1"/>
  <c r="H19" i="1" s="1"/>
  <c r="H23" i="1" s="1"/>
  <c r="C13" i="1"/>
  <c r="C14" i="1" s="1"/>
  <c r="C19" i="1" l="1"/>
  <c r="C23" i="1" s="1"/>
  <c r="F19" i="1"/>
  <c r="F23" i="1" s="1"/>
  <c r="D19" i="1"/>
  <c r="D23" i="1" s="1"/>
</calcChain>
</file>

<file path=xl/sharedStrings.xml><?xml version="1.0" encoding="utf-8"?>
<sst xmlns="http://schemas.openxmlformats.org/spreadsheetml/2006/main" count="33" uniqueCount="33">
  <si>
    <t>INDIRA COLLEGE OF ENGINEERING AND MANAGEMENT</t>
  </si>
  <si>
    <t>Department: Artificial Intelligence And Data Science</t>
  </si>
  <si>
    <t>Course: Natural Language Processing</t>
  </si>
  <si>
    <t>Theory Assignment</t>
  </si>
  <si>
    <t>Unit Test 1</t>
  </si>
  <si>
    <t>Unit Test 2</t>
  </si>
  <si>
    <t>Average Direct Assessment</t>
  </si>
  <si>
    <t>In Sem Exam</t>
  </si>
  <si>
    <t>End Sem Result</t>
  </si>
  <si>
    <t>Direct Assessment</t>
  </si>
  <si>
    <t>Internal Assessment</t>
  </si>
  <si>
    <t>University Exams</t>
  </si>
  <si>
    <t>Indirect Assessment</t>
  </si>
  <si>
    <t>317532B.1</t>
  </si>
  <si>
    <t>317532B.2</t>
  </si>
  <si>
    <t>317532B.3</t>
  </si>
  <si>
    <t>317532B.4</t>
  </si>
  <si>
    <t>317532B.5</t>
  </si>
  <si>
    <t>317532B.6</t>
  </si>
  <si>
    <t>A = Internal attainment X 0.3 =</t>
  </si>
  <si>
    <t>B = University Result X 0.7 =</t>
  </si>
  <si>
    <t>Total Attainment - Direct Assessment D = (A+B)*0.7</t>
  </si>
  <si>
    <t>C = Course Exit Survey Attainment</t>
  </si>
  <si>
    <t>Total Attainment - Indirect Assessment I = (C)*0.3</t>
  </si>
  <si>
    <t>CO Attainment = D+I</t>
  </si>
  <si>
    <t>CO →</t>
  </si>
  <si>
    <t>Assessment Tools ↓</t>
  </si>
  <si>
    <t>Level of Attainment</t>
  </si>
  <si>
    <t>Rule for Attainment</t>
  </si>
  <si>
    <t>60% or more students having more than average marks</t>
  </si>
  <si>
    <t>50% or more students having more than average marks</t>
  </si>
  <si>
    <t>40% or more students scoring more than average marks</t>
  </si>
  <si>
    <t>Rules for calculating Attainment level through SPPU Exam (University exam - 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</si>
</sst>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2"/>
  <sheetViews>
    <sheetView tabSelected="1" topLeftCell="A4" workbookViewId="0">
      <selection activeCell="C21" sqref="C21:H21"/>
    </sheetView>
  </sheetViews>
  <sheetFormatPr defaultRowHeight="15" x14ac:dyDescent="0.25"/>
  <cols>
    <col min="2" max="2" width="51" style="7" bestFit="1" customWidth="1"/>
    <col min="3" max="3" width="20.42578125" bestFit="1" customWidth="1"/>
    <col min="4" max="4" width="19.85546875" customWidth="1"/>
    <col min="5" max="8" width="20" customWidth="1"/>
  </cols>
  <sheetData>
    <row r="1" spans="2:8" x14ac:dyDescent="0.25">
      <c r="B1" s="3" t="s">
        <v>0</v>
      </c>
    </row>
    <row r="2" spans="2:8" x14ac:dyDescent="0.25">
      <c r="B2" s="3" t="s">
        <v>1</v>
      </c>
    </row>
    <row r="3" spans="2:8" x14ac:dyDescent="0.25">
      <c r="B3" s="3" t="s">
        <v>2</v>
      </c>
    </row>
    <row r="4" spans="2:8" x14ac:dyDescent="0.25">
      <c r="B4" s="3"/>
    </row>
    <row r="5" spans="2:8" x14ac:dyDescent="0.25">
      <c r="B5" s="3"/>
    </row>
    <row r="6" spans="2:8" x14ac:dyDescent="0.25">
      <c r="B6" s="4" t="s">
        <v>25</v>
      </c>
      <c r="C6" s="19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</row>
    <row r="7" spans="2:8" x14ac:dyDescent="0.25">
      <c r="B7" s="4" t="s">
        <v>26</v>
      </c>
      <c r="C7" s="19"/>
      <c r="D7" s="19"/>
      <c r="E7" s="19"/>
      <c r="F7" s="19"/>
      <c r="G7" s="19"/>
      <c r="H7" s="19"/>
    </row>
    <row r="8" spans="2:8" x14ac:dyDescent="0.25">
      <c r="B8" s="13" t="s">
        <v>9</v>
      </c>
      <c r="C8" s="14"/>
      <c r="D8" s="14"/>
      <c r="E8" s="14"/>
      <c r="F8" s="14"/>
      <c r="G8" s="14"/>
      <c r="H8" s="15"/>
    </row>
    <row r="9" spans="2:8" x14ac:dyDescent="0.25">
      <c r="B9" s="4" t="s">
        <v>10</v>
      </c>
      <c r="C9" s="1"/>
      <c r="D9" s="1"/>
      <c r="E9" s="1"/>
      <c r="F9" s="1"/>
      <c r="G9" s="1"/>
      <c r="H9" s="1"/>
    </row>
    <row r="10" spans="2:8" x14ac:dyDescent="0.25">
      <c r="B10" s="5" t="s">
        <v>3</v>
      </c>
      <c r="C10" s="2"/>
      <c r="D10" s="2"/>
      <c r="E10" s="2"/>
      <c r="F10" s="2"/>
      <c r="G10" s="2"/>
      <c r="H10" s="2"/>
    </row>
    <row r="11" spans="2:8" x14ac:dyDescent="0.25">
      <c r="B11" s="5" t="s">
        <v>4</v>
      </c>
      <c r="C11" s="2"/>
      <c r="D11" s="2"/>
      <c r="E11" s="2"/>
      <c r="F11" s="2"/>
      <c r="G11" s="2"/>
      <c r="H11" s="2"/>
    </row>
    <row r="12" spans="2:8" x14ac:dyDescent="0.25">
      <c r="B12" s="5" t="s">
        <v>5</v>
      </c>
      <c r="C12" s="2"/>
      <c r="D12" s="2"/>
      <c r="E12" s="2"/>
      <c r="F12" s="2"/>
      <c r="G12" s="2"/>
      <c r="H12" s="2"/>
    </row>
    <row r="13" spans="2:8" x14ac:dyDescent="0.25">
      <c r="B13" s="5" t="s">
        <v>6</v>
      </c>
      <c r="C13" s="2" t="e">
        <f>SUM(C10:C12)/COUNT(C10:C12)</f>
        <v>#DIV/0!</v>
      </c>
      <c r="D13" s="2" t="e">
        <f t="shared" ref="D13:H13" si="0">SUM(D10:D12)/COUNT(D10:D12)</f>
        <v>#DIV/0!</v>
      </c>
      <c r="E13" s="2" t="e">
        <f t="shared" si="0"/>
        <v>#DIV/0!</v>
      </c>
      <c r="F13" s="2" t="e">
        <f t="shared" si="0"/>
        <v>#DIV/0!</v>
      </c>
      <c r="G13" s="2" t="e">
        <f t="shared" si="0"/>
        <v>#DIV/0!</v>
      </c>
      <c r="H13" s="2" t="e">
        <f t="shared" si="0"/>
        <v>#DIV/0!</v>
      </c>
    </row>
    <row r="14" spans="2:8" x14ac:dyDescent="0.25">
      <c r="B14" s="5" t="s">
        <v>19</v>
      </c>
      <c r="C14" s="2" t="e">
        <f>C13*0.3</f>
        <v>#DIV/0!</v>
      </c>
      <c r="D14" s="2" t="e">
        <f t="shared" ref="D14:H14" si="1">D13*0.3</f>
        <v>#DIV/0!</v>
      </c>
      <c r="E14" s="2" t="e">
        <f t="shared" si="1"/>
        <v>#DIV/0!</v>
      </c>
      <c r="F14" s="2" t="e">
        <f t="shared" si="1"/>
        <v>#DIV/0!</v>
      </c>
      <c r="G14" s="2" t="e">
        <f t="shared" si="1"/>
        <v>#DIV/0!</v>
      </c>
      <c r="H14" s="2" t="e">
        <f t="shared" si="1"/>
        <v>#DIV/0!</v>
      </c>
    </row>
    <row r="15" spans="2:8" x14ac:dyDescent="0.25">
      <c r="B15" s="6" t="s">
        <v>11</v>
      </c>
      <c r="C15" s="2"/>
      <c r="D15" s="2"/>
      <c r="E15" s="2"/>
      <c r="F15" s="2"/>
      <c r="G15" s="2"/>
      <c r="H15" s="2"/>
    </row>
    <row r="16" spans="2:8" x14ac:dyDescent="0.25">
      <c r="B16" s="5" t="s">
        <v>7</v>
      </c>
      <c r="C16" s="2"/>
      <c r="D16" s="2"/>
      <c r="E16" s="2"/>
      <c r="F16" s="2"/>
      <c r="G16" s="2"/>
      <c r="H16" s="2"/>
    </row>
    <row r="17" spans="2:8" x14ac:dyDescent="0.25">
      <c r="B17" s="5" t="s">
        <v>8</v>
      </c>
      <c r="C17" s="2"/>
      <c r="D17" s="2"/>
      <c r="E17" s="2"/>
      <c r="F17" s="2"/>
      <c r="G17" s="2"/>
      <c r="H17" s="2"/>
    </row>
    <row r="18" spans="2:8" x14ac:dyDescent="0.25">
      <c r="B18" s="5" t="s">
        <v>20</v>
      </c>
      <c r="C18" s="2">
        <f>C17*0.7</f>
        <v>0</v>
      </c>
      <c r="D18" s="2">
        <f t="shared" ref="D18:H18" si="2">D17*0.7</f>
        <v>0</v>
      </c>
      <c r="E18" s="2">
        <f t="shared" si="2"/>
        <v>0</v>
      </c>
      <c r="F18" s="2">
        <f t="shared" si="2"/>
        <v>0</v>
      </c>
      <c r="G18" s="2">
        <f t="shared" si="2"/>
        <v>0</v>
      </c>
      <c r="H18" s="2">
        <f t="shared" si="2"/>
        <v>0</v>
      </c>
    </row>
    <row r="19" spans="2:8" x14ac:dyDescent="0.25">
      <c r="B19" s="5" t="s">
        <v>21</v>
      </c>
      <c r="C19" s="2" t="e">
        <f>SUM(C14, C18)*0.7</f>
        <v>#DIV/0!</v>
      </c>
      <c r="D19" s="2" t="e">
        <f t="shared" ref="D19:H19" si="3">SUM(D14, D18)*0.7</f>
        <v>#DIV/0!</v>
      </c>
      <c r="E19" s="2" t="e">
        <f t="shared" si="3"/>
        <v>#DIV/0!</v>
      </c>
      <c r="F19" s="2" t="e">
        <f t="shared" si="3"/>
        <v>#DIV/0!</v>
      </c>
      <c r="G19" s="2" t="e">
        <f t="shared" si="3"/>
        <v>#DIV/0!</v>
      </c>
      <c r="H19" s="2" t="e">
        <f t="shared" si="3"/>
        <v>#DIV/0!</v>
      </c>
    </row>
    <row r="20" spans="2:8" x14ac:dyDescent="0.25">
      <c r="B20" s="16" t="s">
        <v>12</v>
      </c>
      <c r="C20" s="17"/>
      <c r="D20" s="17"/>
      <c r="E20" s="17"/>
      <c r="F20" s="17"/>
      <c r="G20" s="17"/>
      <c r="H20" s="18"/>
    </row>
    <row r="21" spans="2:8" x14ac:dyDescent="0.25">
      <c r="B21" s="5" t="s">
        <v>22</v>
      </c>
      <c r="C21" s="2"/>
      <c r="D21" s="2"/>
      <c r="E21" s="2"/>
      <c r="F21" s="2"/>
      <c r="G21" s="2"/>
      <c r="H21" s="2"/>
    </row>
    <row r="22" spans="2:8" x14ac:dyDescent="0.25">
      <c r="B22" s="5" t="s">
        <v>23</v>
      </c>
      <c r="C22" s="2">
        <f>C21*0.3</f>
        <v>0</v>
      </c>
      <c r="D22" s="2">
        <f t="shared" ref="D22:H22" si="4">D21*0.3</f>
        <v>0</v>
      </c>
      <c r="E22" s="2">
        <f t="shared" si="4"/>
        <v>0</v>
      </c>
      <c r="F22" s="2">
        <f t="shared" si="4"/>
        <v>0</v>
      </c>
      <c r="G22" s="2">
        <f t="shared" si="4"/>
        <v>0</v>
      </c>
      <c r="H22" s="2">
        <f t="shared" si="4"/>
        <v>0</v>
      </c>
    </row>
    <row r="23" spans="2:8" x14ac:dyDescent="0.25">
      <c r="B23" s="5" t="s">
        <v>24</v>
      </c>
      <c r="C23" s="2" t="e">
        <f>SUM(C19, C22)</f>
        <v>#DIV/0!</v>
      </c>
      <c r="D23" s="2" t="e">
        <f t="shared" ref="D23:H23" si="5">SUM(D19, D22)</f>
        <v>#DIV/0!</v>
      </c>
      <c r="E23" s="2" t="e">
        <f t="shared" si="5"/>
        <v>#DIV/0!</v>
      </c>
      <c r="F23" s="2" t="e">
        <f t="shared" si="5"/>
        <v>#DIV/0!</v>
      </c>
      <c r="G23" s="2" t="e">
        <f t="shared" si="5"/>
        <v>#DIV/0!</v>
      </c>
      <c r="H23" s="2" t="e">
        <f t="shared" si="5"/>
        <v>#DIV/0!</v>
      </c>
    </row>
    <row r="27" spans="2:8" x14ac:dyDescent="0.25">
      <c r="B27" s="12" t="s">
        <v>32</v>
      </c>
      <c r="C27" s="12"/>
    </row>
    <row r="28" spans="2:8" x14ac:dyDescent="0.25">
      <c r="B28" s="11"/>
      <c r="C28" s="11"/>
    </row>
    <row r="29" spans="2:8" x14ac:dyDescent="0.25">
      <c r="B29" s="8" t="s">
        <v>27</v>
      </c>
      <c r="C29" s="8" t="s">
        <v>28</v>
      </c>
    </row>
    <row r="30" spans="2:8" ht="46.5" customHeight="1" x14ac:dyDescent="0.25">
      <c r="B30" s="9">
        <v>3</v>
      </c>
      <c r="C30" s="10" t="s">
        <v>29</v>
      </c>
    </row>
    <row r="31" spans="2:8" ht="51" customHeight="1" x14ac:dyDescent="0.25">
      <c r="B31" s="9">
        <v>2</v>
      </c>
      <c r="C31" s="10" t="s">
        <v>30</v>
      </c>
    </row>
    <row r="32" spans="2:8" ht="54.75" customHeight="1" x14ac:dyDescent="0.25">
      <c r="B32" s="9">
        <v>1</v>
      </c>
      <c r="C32" s="10" t="s">
        <v>31</v>
      </c>
    </row>
  </sheetData>
  <mergeCells count="9">
    <mergeCell ref="B27:C27"/>
    <mergeCell ref="B8:H8"/>
    <mergeCell ref="B20:H20"/>
    <mergeCell ref="C6:C7"/>
    <mergeCell ref="D6:D7"/>
    <mergeCell ref="E6:E7"/>
    <mergeCell ref="F6:F7"/>
    <mergeCell ref="G6:G7"/>
    <mergeCell ref="H6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2026-03-31T18:21:46Z</dcterms:created>
  <dcterms:modified xsi:type="dcterms:W3CDTF">2026-04-13T18:24:36Z</dcterms:modified>
</cp:coreProperties>
</file>